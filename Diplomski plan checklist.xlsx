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cancer-platform\"/>
    </mc:Choice>
  </mc:AlternateContent>
  <xr:revisionPtr revIDLastSave="0" documentId="13_ncr:1_{D0B55D6F-EB9F-42DA-AF19-E7FF73CA84D2}" xr6:coauthVersionLast="47" xr6:coauthVersionMax="47" xr10:uidLastSave="{00000000-0000-0000-0000-000000000000}"/>
  <bookViews>
    <workbookView xWindow="-86" yWindow="0" windowWidth="16629" windowHeight="17880" xr2:uid="{00000000-000D-0000-FFFF-FFFF00000000}"/>
  </bookViews>
  <sheets>
    <sheet name="Checklist" sheetId="1" r:id="rId1"/>
    <sheet name="How to use" sheetId="2" r:id="rId2"/>
  </sheets>
  <calcPr calcId="181029"/>
</workbook>
</file>

<file path=xl/calcChain.xml><?xml version="1.0" encoding="utf-8"?>
<calcChain xmlns="http://schemas.openxmlformats.org/spreadsheetml/2006/main">
  <c r="I30" i="1" l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J3" i="1"/>
  <c r="H3" i="1"/>
  <c r="D3" i="1"/>
  <c r="B3" i="1"/>
  <c r="F3" i="1" l="1"/>
</calcChain>
</file>

<file path=xl/sharedStrings.xml><?xml version="1.0" encoding="utf-8"?>
<sst xmlns="http://schemas.openxmlformats.org/spreadsheetml/2006/main" count="284" uniqueCount="161">
  <si>
    <t>Diplomski plan: Checklist (dataset registry + pipeline + baseline)</t>
  </si>
  <si>
    <t>Ukupno zadataka</t>
  </si>
  <si>
    <t>Zavrseno</t>
  </si>
  <si>
    <t>% Zavrseno</t>
  </si>
  <si>
    <t>Blokirano</t>
  </si>
  <si>
    <t>U toku</t>
  </si>
  <si>
    <t>ID</t>
  </si>
  <si>
    <t>Faza</t>
  </si>
  <si>
    <t>Naziv zadatka</t>
  </si>
  <si>
    <t>Deliverable / opis</t>
  </si>
  <si>
    <t>Alat</t>
  </si>
  <si>
    <t>Start</t>
  </si>
  <si>
    <t>Target</t>
  </si>
  <si>
    <t>Status</t>
  </si>
  <si>
    <t>%</t>
  </si>
  <si>
    <t>Prioritet</t>
  </si>
  <si>
    <t>Napomene</t>
  </si>
  <si>
    <t>Link/Path</t>
  </si>
  <si>
    <t>F0</t>
  </si>
  <si>
    <t>Definisi cilj rada (1 pasus)</t>
  </si>
  <si>
    <t>1 pasus: šta gradiš + zašto (DE fokus)</t>
  </si>
  <si>
    <t>Not Started</t>
  </si>
  <si>
    <t>Definisi kriterijum 'gotovo' (DoD)</t>
  </si>
  <si>
    <t>Lista deliverable-a: registry, pipeline, reporti, baseline, prezentacija</t>
  </si>
  <si>
    <t>Izaberi opseg dataset-a</t>
  </si>
  <si>
    <t>Da li radiš sva 4 ili 2+1 (preporuka: 2 image + 1 tabular)</t>
  </si>
  <si>
    <t>Postavi repo i strukturu foldera</t>
  </si>
  <si>
    <t>docs/, src/, data/raw, data/curated, reports/, models/, infra/</t>
  </si>
  <si>
    <t>Git</t>
  </si>
  <si>
    <t>F1</t>
  </si>
  <si>
    <t>Preuzmi SipakMed (cervical)</t>
  </si>
  <si>
    <t>Download + smesti u data/raw/sipakmed</t>
  </si>
  <si>
    <t>Kaggle</t>
  </si>
  <si>
    <t>Preuzmi LC25000 (lung+colon)</t>
  </si>
  <si>
    <t>Download + smesti u data/raw/lc25000</t>
  </si>
  <si>
    <t>Preuzmi rm1000 lung histo</t>
  </si>
  <si>
    <t>Download + smesti u data/raw/rm1000</t>
  </si>
  <si>
    <t>Preuzmi thyroid recurrence (tabular)</t>
  </si>
  <si>
    <t>Download + smesti u data/raw/thyroid</t>
  </si>
  <si>
    <t>Licensing/napomene za citiranje</t>
  </si>
  <si>
    <t>Zapiši licence i kako citiraš dataset u radu</t>
  </si>
  <si>
    <t>F2</t>
  </si>
  <si>
    <t>Image profiling modul</t>
  </si>
  <si>
    <t>Broj slika, klase, rezolucije, veličine fajlova</t>
  </si>
  <si>
    <t>Python</t>
  </si>
  <si>
    <t>Tabular profiling modul</t>
  </si>
  <si>
    <t>Tipovi kolona, missing, distribucije, imbalance</t>
  </si>
  <si>
    <t>Detekcija duplikata (hash)</t>
  </si>
  <si>
    <t>Exact duplicates (sha256) + izveštaj</t>
  </si>
  <si>
    <t>Near-duplicate detekcija (bonus)</t>
  </si>
  <si>
    <t>Perceptual hash (pHash/aHash) za slike</t>
  </si>
  <si>
    <t>QC: blur/brightness outliers</t>
  </si>
  <si>
    <t>Flag za mutne/previše tamne svetle slike</t>
  </si>
  <si>
    <t>Generiši početne profile reporte</t>
  </si>
  <si>
    <t>reports/profile_&lt;dataset&gt;.html/pdf</t>
  </si>
  <si>
    <t>F3</t>
  </si>
  <si>
    <t>Odluči registry: YAML ili Postgres</t>
  </si>
  <si>
    <t>Preporuka: YAML MVP, posle Postgres</t>
  </si>
  <si>
    <t>Definiši standard metadata schema</t>
  </si>
  <si>
    <t>Minimalni skup polja + tipovi</t>
  </si>
  <si>
    <t>Definiši pipeline steps</t>
  </si>
  <si>
    <t>ingest, profile, qc, curate, train_baseline, serve</t>
  </si>
  <si>
    <t>Nacrtaj arhitekturu</t>
  </si>
  <si>
    <t>Dijagram: komponente + tok podataka</t>
  </si>
  <si>
    <t>Draw.io</t>
  </si>
  <si>
    <t>Definiši naming/versioning</t>
  </si>
  <si>
    <t>Dataset version (v1, v2), run_id, manifest</t>
  </si>
  <si>
    <t>F4</t>
  </si>
  <si>
    <t>CLI/komande skeleton</t>
  </si>
  <si>
    <t>run, profile, curate, train, serve</t>
  </si>
  <si>
    <t>Registry implementacija</t>
  </si>
  <si>
    <t>register/list/get, validacija unosa</t>
  </si>
  <si>
    <t>Ingestion modul</t>
  </si>
  <si>
    <t>Kopiranje u standard strukturu + manifest + checksum</t>
  </si>
  <si>
    <t>Profiling integracija</t>
  </si>
  <si>
    <t>Pipeline step: profile + upis rezultata</t>
  </si>
  <si>
    <t>QC step</t>
  </si>
  <si>
    <t>Rule engine + flagged samples + summary</t>
  </si>
  <si>
    <t>Curation (images)</t>
  </si>
  <si>
    <t>Resize/normalize + split (stratified)</t>
  </si>
  <si>
    <t>Curation (tabular)</t>
  </si>
  <si>
    <t>Cleaning + encoding + split</t>
  </si>
  <si>
    <t>Baseline train (images)</t>
  </si>
  <si>
    <t>Transfer learning baseline + log metrika</t>
  </si>
  <si>
    <t>PyTorch/TF</t>
  </si>
  <si>
    <t>Baseline train (tabular)</t>
  </si>
  <si>
    <t>LogReg + XGBoost/LightGBM baseline</t>
  </si>
  <si>
    <t>sklearn</t>
  </si>
  <si>
    <t>Artifacts &amp; folder conventions</t>
  </si>
  <si>
    <t>models/, reports/, runs/&lt;run_id&gt;/...</t>
  </si>
  <si>
    <t>F5</t>
  </si>
  <si>
    <t>Idempotency</t>
  </si>
  <si>
    <t>Re-run ne duplira artefakte; koristi manifest/hash</t>
  </si>
  <si>
    <t>Error handling + retry</t>
  </si>
  <si>
    <t>Fail-safe: partial runs i clean recovery</t>
  </si>
  <si>
    <t>Logging</t>
  </si>
  <si>
    <t>Strukturisani logovi po step-u + run_id</t>
  </si>
  <si>
    <t>Metrics</t>
  </si>
  <si>
    <t>Trajanje koraka, broj fajlova, fail rate</t>
  </si>
  <si>
    <t>Dataset catalog (mini)</t>
  </si>
  <si>
    <t>Tabela/JSON index: šta imaš i gde</t>
  </si>
  <si>
    <t>F5b</t>
  </si>
  <si>
    <t>Kafka topics dizajn</t>
  </si>
  <si>
    <t>dataset.registered, profile.completed, run.failed</t>
  </si>
  <si>
    <t>Kafka</t>
  </si>
  <si>
    <t>Producer/consumer prototip</t>
  </si>
  <si>
    <t>Bar 2 servisa preko topic-a</t>
  </si>
  <si>
    <t>DLQ topic</t>
  </si>
  <si>
    <t>Neuspešni događaji idu u *.dlq</t>
  </si>
  <si>
    <t>F6</t>
  </si>
  <si>
    <t>Eksperiment A: baseline bez QC</t>
  </si>
  <si>
    <t>Treniraj i sačuvaj metrike</t>
  </si>
  <si>
    <t>Eksperiment B: baseline sa QC</t>
  </si>
  <si>
    <t>Ukloni flagged uzorke pa treniraj</t>
  </si>
  <si>
    <t>Eksperiment C: split strategija</t>
  </si>
  <si>
    <t>Uporedi random vs stratified</t>
  </si>
  <si>
    <t>Sumarni report</t>
  </si>
  <si>
    <t>Jedna tabela + grafici poređenja</t>
  </si>
  <si>
    <t>F7</t>
  </si>
  <si>
    <t>Napraviti skeleton rada</t>
  </si>
  <si>
    <t>Poglavlja + podnaslovi u Word-u</t>
  </si>
  <si>
    <t>Word</t>
  </si>
  <si>
    <t>Uvod + motivacija</t>
  </si>
  <si>
    <t>1-2 strane</t>
  </si>
  <si>
    <t>Dataset opis + EDA nalazi</t>
  </si>
  <si>
    <t>2-4 strane + tabele</t>
  </si>
  <si>
    <t>Dizajn sistema</t>
  </si>
  <si>
    <t>Arhitektura + odluke</t>
  </si>
  <si>
    <t>Implementacija</t>
  </si>
  <si>
    <t>Kako radi pipeline, strukture podataka</t>
  </si>
  <si>
    <t>Rezultati eksperimenata</t>
  </si>
  <si>
    <t>Grafici + interpretacija</t>
  </si>
  <si>
    <t>Zaključak + future work</t>
  </si>
  <si>
    <t>Literatura i citati</t>
  </si>
  <si>
    <t>Dataset citation + alati</t>
  </si>
  <si>
    <t>F8</t>
  </si>
  <si>
    <t>Outline slajdova</t>
  </si>
  <si>
    <t>10-12 slajdova plan</t>
  </si>
  <si>
    <t>PPT</t>
  </si>
  <si>
    <t>Nacrtaj arhitekturu (slajd)</t>
  </si>
  <si>
    <t>Jedan glavni dijagram</t>
  </si>
  <si>
    <t>Rezultati (slajdovi)</t>
  </si>
  <si>
    <t>QC vs no-QC, performanse</t>
  </si>
  <si>
    <t>Speaker notes</t>
  </si>
  <si>
    <t>Kratke beleške šta govoriš</t>
  </si>
  <si>
    <t>Proba odbrane</t>
  </si>
  <si>
    <t>10-12 min + pitanja</t>
  </si>
  <si>
    <t>Kako da koristis ovaj checklist</t>
  </si>
  <si>
    <t>1) Popuni Start/Target datume po zadacima koji su ti aktivni.</t>
  </si>
  <si>
    <t>2) Status menjaj kroz padajuci meni: Not Started / In Progress / Blocked / Done.</t>
  </si>
  <si>
    <t>3) % se racuna automatski iz Status-a (Done=100%, In Progress=50%).</t>
  </si>
  <si>
    <t>4) Prioritet je opcion: Low/Medium/High.</t>
  </si>
  <si>
    <t>5) Napomene i Link/Path: stavi putanju do reporta, commita, slajdova, itd.</t>
  </si>
  <si>
    <t>Saveti</t>
  </si>
  <si>
    <t>- Ne menjaj data/raw. Sve transformacije idu u data/curated/&lt;dataset&gt;/&lt;version&gt;.</t>
  </si>
  <si>
    <t>- Nakon svake faze upisi kratak tekst u Word (1-2 strane) da ne gomilas.</t>
  </si>
  <si>
    <t>Done</t>
  </si>
  <si>
    <t>Radim sva 4</t>
  </si>
  <si>
    <t>https://github.com/Milki19/cancer-platform.git</t>
  </si>
  <si>
    <t>In Progress</t>
  </si>
  <si>
    <t>Blocked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</si>
</sst>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name val="Calibri"/>
    </font>
    <font>
      <b/>
      <sz val="11"/>
      <color rgb="FF1F2D3D"/>
      <name val="Calibri"/>
    </font>
    <font>
      <sz val="11"/>
      <name val="Calibri"/>
    </font>
    <font>
      <b/>
      <sz val="14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left" vertical="center" wrapText="1"/>
    </xf>
    <xf numFmtId="9" fontId="2" fillId="0" borderId="0" xfId="0" applyNumberFormat="1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6" fillId="0" borderId="1" xfId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/>
  </cellXfs>
  <cellStyles count="2">
    <cellStyle name="Hyperlink" xfId="1" builtinId="8"/>
    <cellStyle name="Normal" xfId="0" builtinId="0"/>
  </cellStyles>
  <dxfs count="3"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Milki19/cancer-platform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"/>
  <sheetViews>
    <sheetView tabSelected="1" topLeftCell="A22" workbookViewId="0">
      <selection activeCell="H44" sqref="H44"/>
    </sheetView>
  </sheetViews>
  <sheetFormatPr defaultRowHeight="14.6" x14ac:dyDescent="0.4"/>
  <cols>
    <col min="1" max="1" width="6" customWidth="1"/>
    <col min="2" max="2" width="10" customWidth="1"/>
    <col min="3" max="3" width="34" customWidth="1"/>
    <col min="4" max="4" width="40" customWidth="1"/>
    <col min="5" max="7" width="12" customWidth="1"/>
    <col min="8" max="8" width="14" customWidth="1"/>
    <col min="9" max="9" width="6" customWidth="1"/>
    <col min="10" max="10" width="10" customWidth="1"/>
    <col min="11" max="11" width="24" customWidth="1"/>
    <col min="12" max="12" width="26" customWidth="1"/>
  </cols>
  <sheetData>
    <row r="1" spans="1:12" ht="28" customHeight="1" x14ac:dyDescent="0.4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3" spans="1:12" ht="58.3" x14ac:dyDescent="0.4">
      <c r="A3" s="1" t="s">
        <v>1</v>
      </c>
      <c r="B3" s="1">
        <f>COUNTA($C$7:$C$61)</f>
        <v>55</v>
      </c>
      <c r="C3" s="1" t="s">
        <v>2</v>
      </c>
      <c r="D3" s="1">
        <f>COUNTIF($H$7:$H$61,"Done")</f>
        <v>21</v>
      </c>
      <c r="E3" s="1" t="s">
        <v>3</v>
      </c>
      <c r="F3" s="2">
        <f>IF(B3=0,0,D3/B3)</f>
        <v>0.38181818181818183</v>
      </c>
      <c r="G3" s="1" t="s">
        <v>4</v>
      </c>
      <c r="H3" s="1">
        <f>COUNTIF($H$7:$H$61,"Blocked")</f>
        <v>3</v>
      </c>
      <c r="I3" s="1" t="s">
        <v>5</v>
      </c>
      <c r="J3" s="1">
        <f>COUNTIF($H$7:$H$61,"In Progress")</f>
        <v>1</v>
      </c>
    </row>
    <row r="6" spans="1:12" ht="22" customHeight="1" x14ac:dyDescent="0.4">
      <c r="A6" s="3" t="s">
        <v>6</v>
      </c>
      <c r="B6" s="3" t="s">
        <v>7</v>
      </c>
      <c r="C6" s="3" t="s">
        <v>8</v>
      </c>
      <c r="D6" s="3" t="s">
        <v>9</v>
      </c>
      <c r="E6" s="3" t="s">
        <v>10</v>
      </c>
      <c r="F6" s="3" t="s">
        <v>11</v>
      </c>
      <c r="G6" s="3" t="s">
        <v>12</v>
      </c>
      <c r="H6" s="3" t="s">
        <v>13</v>
      </c>
      <c r="I6" s="3" t="s">
        <v>14</v>
      </c>
      <c r="J6" s="3" t="s">
        <v>15</v>
      </c>
      <c r="K6" s="3" t="s">
        <v>16</v>
      </c>
      <c r="L6" s="3" t="s">
        <v>17</v>
      </c>
    </row>
    <row r="7" spans="1:12" x14ac:dyDescent="0.4">
      <c r="A7" s="4">
        <v>1</v>
      </c>
      <c r="B7" s="4" t="s">
        <v>18</v>
      </c>
      <c r="C7" s="5" t="s">
        <v>19</v>
      </c>
      <c r="D7" s="5" t="s">
        <v>20</v>
      </c>
      <c r="E7" s="4"/>
      <c r="F7" s="4"/>
      <c r="G7" s="4"/>
      <c r="H7" s="4" t="s">
        <v>156</v>
      </c>
      <c r="I7" s="6">
        <f t="shared" ref="I7:I38" si="0">IF($H7="Done",1,IF($H7="In Progress",0.5,0))</f>
        <v>1</v>
      </c>
      <c r="J7" s="4"/>
      <c r="K7" s="5"/>
      <c r="L7" s="5"/>
    </row>
    <row r="8" spans="1:12" ht="29.15" x14ac:dyDescent="0.4">
      <c r="A8" s="4">
        <v>2</v>
      </c>
      <c r="B8" s="4" t="s">
        <v>18</v>
      </c>
      <c r="C8" s="5" t="s">
        <v>22</v>
      </c>
      <c r="D8" s="5" t="s">
        <v>23</v>
      </c>
      <c r="E8" s="4"/>
      <c r="F8" s="4"/>
      <c r="G8" s="4"/>
      <c r="H8" s="4" t="s">
        <v>156</v>
      </c>
      <c r="I8" s="6">
        <f t="shared" si="0"/>
        <v>1</v>
      </c>
      <c r="J8" s="4"/>
      <c r="K8" s="5"/>
      <c r="L8" s="5"/>
    </row>
    <row r="9" spans="1:12" ht="29.15" x14ac:dyDescent="0.4">
      <c r="A9" s="4">
        <v>3</v>
      </c>
      <c r="B9" s="4" t="s">
        <v>18</v>
      </c>
      <c r="C9" s="5" t="s">
        <v>24</v>
      </c>
      <c r="D9" s="5" t="s">
        <v>25</v>
      </c>
      <c r="E9" s="4"/>
      <c r="F9" s="4"/>
      <c r="G9" s="4"/>
      <c r="H9" s="4" t="s">
        <v>156</v>
      </c>
      <c r="I9" s="6">
        <f t="shared" si="0"/>
        <v>1</v>
      </c>
      <c r="J9" s="4"/>
      <c r="K9" s="5" t="s">
        <v>157</v>
      </c>
      <c r="L9" s="5"/>
    </row>
    <row r="10" spans="1:12" ht="29.15" x14ac:dyDescent="0.4">
      <c r="A10" s="4">
        <v>4</v>
      </c>
      <c r="B10" s="4" t="s">
        <v>18</v>
      </c>
      <c r="C10" s="5" t="s">
        <v>26</v>
      </c>
      <c r="D10" s="5" t="s">
        <v>27</v>
      </c>
      <c r="E10" s="4" t="s">
        <v>28</v>
      </c>
      <c r="F10" s="4"/>
      <c r="G10" s="4"/>
      <c r="H10" s="4" t="s">
        <v>156</v>
      </c>
      <c r="I10" s="6">
        <f t="shared" si="0"/>
        <v>1</v>
      </c>
      <c r="J10" s="4"/>
      <c r="K10" s="10" t="s">
        <v>158</v>
      </c>
      <c r="L10" s="5"/>
    </row>
    <row r="11" spans="1:12" x14ac:dyDescent="0.4">
      <c r="A11" s="4">
        <v>5</v>
      </c>
      <c r="B11" s="4" t="s">
        <v>29</v>
      </c>
      <c r="C11" s="5" t="s">
        <v>30</v>
      </c>
      <c r="D11" s="5" t="s">
        <v>31</v>
      </c>
      <c r="E11" s="4" t="s">
        <v>32</v>
      </c>
      <c r="F11" s="4"/>
      <c r="G11" s="4"/>
      <c r="H11" s="4" t="s">
        <v>156</v>
      </c>
      <c r="I11" s="6">
        <f t="shared" si="0"/>
        <v>1</v>
      </c>
      <c r="J11" s="4"/>
      <c r="K11" s="5"/>
      <c r="L11" s="5"/>
    </row>
    <row r="12" spans="1:12" x14ac:dyDescent="0.4">
      <c r="A12" s="4">
        <v>6</v>
      </c>
      <c r="B12" s="4" t="s">
        <v>29</v>
      </c>
      <c r="C12" s="5" t="s">
        <v>33</v>
      </c>
      <c r="D12" s="5" t="s">
        <v>34</v>
      </c>
      <c r="E12" s="4" t="s">
        <v>32</v>
      </c>
      <c r="F12" s="4"/>
      <c r="G12" s="4"/>
      <c r="H12" s="4" t="s">
        <v>156</v>
      </c>
      <c r="I12" s="6">
        <f t="shared" si="0"/>
        <v>1</v>
      </c>
      <c r="J12" s="4"/>
      <c r="K12" s="5"/>
      <c r="L12" s="5"/>
    </row>
    <row r="13" spans="1:12" x14ac:dyDescent="0.4">
      <c r="A13" s="4">
        <v>7</v>
      </c>
      <c r="B13" s="4" t="s">
        <v>29</v>
      </c>
      <c r="C13" s="5" t="s">
        <v>35</v>
      </c>
      <c r="D13" s="5" t="s">
        <v>36</v>
      </c>
      <c r="E13" s="4" t="s">
        <v>32</v>
      </c>
      <c r="F13" s="4"/>
      <c r="G13" s="4"/>
      <c r="H13" s="4" t="s">
        <v>156</v>
      </c>
      <c r="I13" s="6">
        <f t="shared" si="0"/>
        <v>1</v>
      </c>
      <c r="J13" s="4"/>
      <c r="K13" s="5"/>
      <c r="L13" s="5"/>
    </row>
    <row r="14" spans="1:12" x14ac:dyDescent="0.4">
      <c r="A14" s="4">
        <v>8</v>
      </c>
      <c r="B14" s="4" t="s">
        <v>29</v>
      </c>
      <c r="C14" s="5" t="s">
        <v>37</v>
      </c>
      <c r="D14" s="5" t="s">
        <v>38</v>
      </c>
      <c r="E14" s="4" t="s">
        <v>32</v>
      </c>
      <c r="F14" s="4"/>
      <c r="G14" s="4"/>
      <c r="H14" s="4" t="s">
        <v>156</v>
      </c>
      <c r="I14" s="6">
        <f t="shared" si="0"/>
        <v>1</v>
      </c>
      <c r="J14" s="4"/>
      <c r="K14" s="5"/>
      <c r="L14" s="5"/>
    </row>
    <row r="15" spans="1:12" x14ac:dyDescent="0.4">
      <c r="A15" s="4">
        <v>9</v>
      </c>
      <c r="B15" s="4" t="s">
        <v>29</v>
      </c>
      <c r="C15" s="5" t="s">
        <v>39</v>
      </c>
      <c r="D15" s="5" t="s">
        <v>40</v>
      </c>
      <c r="E15" s="4"/>
      <c r="F15" s="4"/>
      <c r="G15" s="4"/>
      <c r="H15" s="4" t="s">
        <v>21</v>
      </c>
      <c r="I15" s="6">
        <f t="shared" si="0"/>
        <v>0</v>
      </c>
      <c r="J15" s="4"/>
      <c r="K15" s="5"/>
      <c r="L15" s="5"/>
    </row>
    <row r="16" spans="1:12" x14ac:dyDescent="0.4">
      <c r="A16" s="4">
        <v>10</v>
      </c>
      <c r="B16" s="4" t="s">
        <v>41</v>
      </c>
      <c r="C16" s="5" t="s">
        <v>42</v>
      </c>
      <c r="D16" s="5" t="s">
        <v>43</v>
      </c>
      <c r="E16" s="4" t="s">
        <v>44</v>
      </c>
      <c r="F16" s="4"/>
      <c r="G16" s="4"/>
      <c r="H16" s="4" t="s">
        <v>156</v>
      </c>
      <c r="I16" s="6">
        <f t="shared" si="0"/>
        <v>1</v>
      </c>
      <c r="J16" s="4"/>
      <c r="K16" s="5"/>
      <c r="L16" s="5"/>
    </row>
    <row r="17" spans="1:12" x14ac:dyDescent="0.4">
      <c r="A17" s="4">
        <v>11</v>
      </c>
      <c r="B17" s="4" t="s">
        <v>41</v>
      </c>
      <c r="C17" s="5" t="s">
        <v>45</v>
      </c>
      <c r="D17" s="5" t="s">
        <v>46</v>
      </c>
      <c r="E17" s="4" t="s">
        <v>44</v>
      </c>
      <c r="F17" s="4"/>
      <c r="G17" s="4"/>
      <c r="H17" s="4" t="s">
        <v>156</v>
      </c>
      <c r="I17" s="6">
        <f t="shared" si="0"/>
        <v>1</v>
      </c>
      <c r="J17" s="4"/>
      <c r="K17" s="5"/>
      <c r="L17" s="5"/>
    </row>
    <row r="18" spans="1:12" x14ac:dyDescent="0.4">
      <c r="A18" s="4">
        <v>12</v>
      </c>
      <c r="B18" s="4" t="s">
        <v>41</v>
      </c>
      <c r="C18" s="5" t="s">
        <v>47</v>
      </c>
      <c r="D18" s="5" t="s">
        <v>48</v>
      </c>
      <c r="E18" s="4" t="s">
        <v>44</v>
      </c>
      <c r="F18" s="4"/>
      <c r="G18" s="4"/>
      <c r="H18" s="4" t="s">
        <v>21</v>
      </c>
      <c r="I18" s="6">
        <f t="shared" si="0"/>
        <v>0</v>
      </c>
      <c r="J18" s="4"/>
      <c r="K18" s="5"/>
      <c r="L18" s="5"/>
    </row>
    <row r="19" spans="1:12" x14ac:dyDescent="0.4">
      <c r="A19" s="4">
        <v>13</v>
      </c>
      <c r="B19" s="4" t="s">
        <v>41</v>
      </c>
      <c r="C19" s="5" t="s">
        <v>49</v>
      </c>
      <c r="D19" s="5" t="s">
        <v>50</v>
      </c>
      <c r="E19" s="4" t="s">
        <v>44</v>
      </c>
      <c r="F19" s="4"/>
      <c r="G19" s="4"/>
      <c r="H19" s="4" t="s">
        <v>21</v>
      </c>
      <c r="I19" s="6">
        <f t="shared" si="0"/>
        <v>0</v>
      </c>
      <c r="J19" s="4"/>
      <c r="K19" s="5"/>
      <c r="L19" s="5"/>
    </row>
    <row r="20" spans="1:12" x14ac:dyDescent="0.4">
      <c r="A20" s="4">
        <v>14</v>
      </c>
      <c r="B20" s="4" t="s">
        <v>41</v>
      </c>
      <c r="C20" s="5" t="s">
        <v>51</v>
      </c>
      <c r="D20" s="5" t="s">
        <v>52</v>
      </c>
      <c r="E20" s="4" t="s">
        <v>44</v>
      </c>
      <c r="F20" s="4"/>
      <c r="G20" s="4"/>
      <c r="H20" s="4" t="s">
        <v>21</v>
      </c>
      <c r="I20" s="6">
        <f t="shared" si="0"/>
        <v>0</v>
      </c>
      <c r="J20" s="4"/>
      <c r="K20" s="5"/>
      <c r="L20" s="5"/>
    </row>
    <row r="21" spans="1:12" x14ac:dyDescent="0.4">
      <c r="A21" s="4">
        <v>15</v>
      </c>
      <c r="B21" s="4" t="s">
        <v>41</v>
      </c>
      <c r="C21" s="5" t="s">
        <v>53</v>
      </c>
      <c r="D21" s="5" t="s">
        <v>54</v>
      </c>
      <c r="E21" s="4"/>
      <c r="F21" s="4"/>
      <c r="G21" s="4"/>
      <c r="H21" s="4" t="s">
        <v>156</v>
      </c>
      <c r="I21" s="6">
        <f t="shared" si="0"/>
        <v>1</v>
      </c>
      <c r="J21" s="4"/>
      <c r="K21" s="5"/>
      <c r="L21" s="5"/>
    </row>
    <row r="22" spans="1:12" x14ac:dyDescent="0.4">
      <c r="A22" s="4">
        <v>16</v>
      </c>
      <c r="B22" s="4" t="s">
        <v>55</v>
      </c>
      <c r="C22" s="5" t="s">
        <v>56</v>
      </c>
      <c r="D22" s="5" t="s">
        <v>57</v>
      </c>
      <c r="E22" s="4"/>
      <c r="F22" s="4"/>
      <c r="G22" s="4"/>
      <c r="H22" s="4" t="s">
        <v>21</v>
      </c>
      <c r="I22" s="6">
        <f t="shared" si="0"/>
        <v>0</v>
      </c>
      <c r="J22" s="4"/>
      <c r="K22" s="5"/>
      <c r="L22" s="5"/>
    </row>
    <row r="23" spans="1:12" x14ac:dyDescent="0.4">
      <c r="A23" s="4">
        <v>17</v>
      </c>
      <c r="B23" s="4" t="s">
        <v>55</v>
      </c>
      <c r="C23" s="5" t="s">
        <v>58</v>
      </c>
      <c r="D23" s="5" t="s">
        <v>59</v>
      </c>
      <c r="E23" s="4"/>
      <c r="F23" s="4"/>
      <c r="G23" s="4"/>
      <c r="H23" s="4" t="s">
        <v>156</v>
      </c>
      <c r="I23" s="6">
        <f t="shared" si="0"/>
        <v>1</v>
      </c>
      <c r="J23" s="4"/>
      <c r="K23" s="5"/>
      <c r="L23" s="5"/>
    </row>
    <row r="24" spans="1:12" x14ac:dyDescent="0.4">
      <c r="A24" s="4">
        <v>18</v>
      </c>
      <c r="B24" s="4" t="s">
        <v>55</v>
      </c>
      <c r="C24" s="5" t="s">
        <v>60</v>
      </c>
      <c r="D24" s="5" t="s">
        <v>61</v>
      </c>
      <c r="E24" s="4"/>
      <c r="F24" s="4"/>
      <c r="G24" s="4"/>
      <c r="H24" s="4" t="s">
        <v>156</v>
      </c>
      <c r="I24" s="6">
        <f t="shared" si="0"/>
        <v>1</v>
      </c>
      <c r="J24" s="4"/>
      <c r="K24" s="5"/>
      <c r="L24" s="5"/>
    </row>
    <row r="25" spans="1:12" x14ac:dyDescent="0.4">
      <c r="A25" s="4">
        <v>19</v>
      </c>
      <c r="B25" s="4" t="s">
        <v>55</v>
      </c>
      <c r="C25" s="5" t="s">
        <v>62</v>
      </c>
      <c r="D25" s="5" t="s">
        <v>63</v>
      </c>
      <c r="E25" s="4" t="s">
        <v>64</v>
      </c>
      <c r="F25" s="4"/>
      <c r="G25" s="4"/>
      <c r="H25" s="4" t="s">
        <v>21</v>
      </c>
      <c r="I25" s="6">
        <f t="shared" si="0"/>
        <v>0</v>
      </c>
      <c r="J25" s="4"/>
      <c r="K25" s="5"/>
      <c r="L25" s="5"/>
    </row>
    <row r="26" spans="1:12" x14ac:dyDescent="0.4">
      <c r="A26" s="4">
        <v>20</v>
      </c>
      <c r="B26" s="4" t="s">
        <v>55</v>
      </c>
      <c r="C26" s="5" t="s">
        <v>65</v>
      </c>
      <c r="D26" s="5" t="s">
        <v>66</v>
      </c>
      <c r="E26" s="4"/>
      <c r="F26" s="4"/>
      <c r="G26" s="4"/>
      <c r="H26" s="4" t="s">
        <v>21</v>
      </c>
      <c r="I26" s="6">
        <f t="shared" si="0"/>
        <v>0</v>
      </c>
      <c r="J26" s="4"/>
      <c r="K26" s="5"/>
      <c r="L26" s="5"/>
    </row>
    <row r="27" spans="1:12" x14ac:dyDescent="0.4">
      <c r="A27" s="4">
        <v>21</v>
      </c>
      <c r="B27" s="4" t="s">
        <v>67</v>
      </c>
      <c r="C27" s="5" t="s">
        <v>68</v>
      </c>
      <c r="D27" s="5" t="s">
        <v>69</v>
      </c>
      <c r="E27" s="4" t="s">
        <v>44</v>
      </c>
      <c r="F27" s="4"/>
      <c r="G27" s="4"/>
      <c r="H27" s="4" t="s">
        <v>21</v>
      </c>
      <c r="I27" s="6">
        <f t="shared" si="0"/>
        <v>0</v>
      </c>
      <c r="J27" s="4"/>
      <c r="K27" s="5"/>
      <c r="L27" s="5"/>
    </row>
    <row r="28" spans="1:12" x14ac:dyDescent="0.4">
      <c r="A28" s="4">
        <v>22</v>
      </c>
      <c r="B28" s="4" t="s">
        <v>67</v>
      </c>
      <c r="C28" s="5" t="s">
        <v>70</v>
      </c>
      <c r="D28" s="5" t="s">
        <v>71</v>
      </c>
      <c r="E28" s="4" t="s">
        <v>44</v>
      </c>
      <c r="F28" s="4"/>
      <c r="G28" s="4"/>
      <c r="H28" s="4" t="s">
        <v>21</v>
      </c>
      <c r="I28" s="6">
        <f t="shared" si="0"/>
        <v>0</v>
      </c>
      <c r="J28" s="4"/>
      <c r="K28" s="5"/>
      <c r="L28" s="5"/>
    </row>
    <row r="29" spans="1:12" ht="29.15" x14ac:dyDescent="0.4">
      <c r="A29" s="4">
        <v>23</v>
      </c>
      <c r="B29" s="4" t="s">
        <v>67</v>
      </c>
      <c r="C29" s="5" t="s">
        <v>72</v>
      </c>
      <c r="D29" s="5" t="s">
        <v>73</v>
      </c>
      <c r="E29" s="4" t="s">
        <v>44</v>
      </c>
      <c r="F29" s="4"/>
      <c r="G29" s="4"/>
      <c r="H29" s="4" t="s">
        <v>21</v>
      </c>
      <c r="I29" s="6">
        <f t="shared" si="0"/>
        <v>0</v>
      </c>
      <c r="J29" s="4"/>
      <c r="K29" s="5"/>
      <c r="L29" s="5"/>
    </row>
    <row r="30" spans="1:12" x14ac:dyDescent="0.4">
      <c r="A30" s="4">
        <v>24</v>
      </c>
      <c r="B30" s="4" t="s">
        <v>67</v>
      </c>
      <c r="C30" s="5" t="s">
        <v>74</v>
      </c>
      <c r="D30" s="5" t="s">
        <v>75</v>
      </c>
      <c r="E30" s="4" t="s">
        <v>44</v>
      </c>
      <c r="F30" s="4"/>
      <c r="G30" s="4"/>
      <c r="H30" s="4" t="s">
        <v>159</v>
      </c>
      <c r="I30" s="6">
        <f>IF($H30="Done",1,IF($H30="In Progress",0.5,0))</f>
        <v>0.5</v>
      </c>
      <c r="J30" s="4"/>
      <c r="K30" s="5"/>
      <c r="L30" s="5"/>
    </row>
    <row r="31" spans="1:12" x14ac:dyDescent="0.4">
      <c r="A31" s="4">
        <v>25</v>
      </c>
      <c r="B31" s="4" t="s">
        <v>67</v>
      </c>
      <c r="C31" s="5" t="s">
        <v>76</v>
      </c>
      <c r="D31" s="5" t="s">
        <v>77</v>
      </c>
      <c r="E31" s="4" t="s">
        <v>44</v>
      </c>
      <c r="F31" s="4"/>
      <c r="G31" s="4"/>
      <c r="H31" s="4" t="s">
        <v>21</v>
      </c>
      <c r="I31" s="6">
        <f t="shared" si="0"/>
        <v>0</v>
      </c>
      <c r="J31" s="4"/>
      <c r="K31" s="5"/>
      <c r="L31" s="5"/>
    </row>
    <row r="32" spans="1:12" x14ac:dyDescent="0.4">
      <c r="A32" s="4">
        <v>26</v>
      </c>
      <c r="B32" s="4" t="s">
        <v>67</v>
      </c>
      <c r="C32" s="5" t="s">
        <v>78</v>
      </c>
      <c r="D32" s="5" t="s">
        <v>79</v>
      </c>
      <c r="E32" s="4" t="s">
        <v>44</v>
      </c>
      <c r="F32" s="4"/>
      <c r="G32" s="4"/>
      <c r="H32" s="4" t="s">
        <v>156</v>
      </c>
      <c r="I32" s="6">
        <f t="shared" si="0"/>
        <v>1</v>
      </c>
      <c r="J32" s="4"/>
      <c r="K32" s="5"/>
      <c r="L32" s="5"/>
    </row>
    <row r="33" spans="1:12" x14ac:dyDescent="0.4">
      <c r="A33" s="4">
        <v>27</v>
      </c>
      <c r="B33" s="4" t="s">
        <v>67</v>
      </c>
      <c r="C33" s="5" t="s">
        <v>80</v>
      </c>
      <c r="D33" s="5" t="s">
        <v>81</v>
      </c>
      <c r="E33" s="4" t="s">
        <v>44</v>
      </c>
      <c r="F33" s="4"/>
      <c r="G33" s="4"/>
      <c r="H33" s="4" t="s">
        <v>156</v>
      </c>
      <c r="I33" s="6">
        <f t="shared" si="0"/>
        <v>1</v>
      </c>
      <c r="J33" s="4"/>
      <c r="K33" s="5"/>
      <c r="L33" s="5"/>
    </row>
    <row r="34" spans="1:12" x14ac:dyDescent="0.4">
      <c r="A34" s="4">
        <v>28</v>
      </c>
      <c r="B34" s="4" t="s">
        <v>67</v>
      </c>
      <c r="C34" s="5" t="s">
        <v>82</v>
      </c>
      <c r="D34" s="5" t="s">
        <v>83</v>
      </c>
      <c r="E34" s="4" t="s">
        <v>84</v>
      </c>
      <c r="F34" s="4"/>
      <c r="G34" s="4"/>
      <c r="H34" s="4" t="s">
        <v>156</v>
      </c>
      <c r="I34" s="6">
        <f t="shared" si="0"/>
        <v>1</v>
      </c>
      <c r="J34" s="4"/>
      <c r="K34" s="5"/>
      <c r="L34" s="5"/>
    </row>
    <row r="35" spans="1:12" x14ac:dyDescent="0.4">
      <c r="A35" s="4">
        <v>29</v>
      </c>
      <c r="B35" s="4" t="s">
        <v>67</v>
      </c>
      <c r="C35" s="5" t="s">
        <v>85</v>
      </c>
      <c r="D35" s="5" t="s">
        <v>86</v>
      </c>
      <c r="E35" s="4" t="s">
        <v>87</v>
      </c>
      <c r="F35" s="4"/>
      <c r="G35" s="4"/>
      <c r="H35" s="4" t="s">
        <v>156</v>
      </c>
      <c r="I35" s="6">
        <f t="shared" si="0"/>
        <v>1</v>
      </c>
      <c r="J35" s="4"/>
      <c r="K35" s="5"/>
      <c r="L35" s="5"/>
    </row>
    <row r="36" spans="1:12" x14ac:dyDescent="0.4">
      <c r="A36" s="4">
        <v>30</v>
      </c>
      <c r="B36" s="4" t="s">
        <v>67</v>
      </c>
      <c r="C36" s="5" t="s">
        <v>88</v>
      </c>
      <c r="D36" s="5" t="s">
        <v>89</v>
      </c>
      <c r="E36" s="4"/>
      <c r="F36" s="4"/>
      <c r="G36" s="4"/>
      <c r="H36" s="4" t="s">
        <v>21</v>
      </c>
      <c r="I36" s="6">
        <f t="shared" si="0"/>
        <v>0</v>
      </c>
      <c r="J36" s="4"/>
      <c r="K36" s="5"/>
      <c r="L36" s="5"/>
    </row>
    <row r="37" spans="1:12" ht="29.15" x14ac:dyDescent="0.4">
      <c r="A37" s="4">
        <v>31</v>
      </c>
      <c r="B37" s="4" t="s">
        <v>90</v>
      </c>
      <c r="C37" s="5" t="s">
        <v>91</v>
      </c>
      <c r="D37" s="5" t="s">
        <v>92</v>
      </c>
      <c r="E37" s="4"/>
      <c r="F37" s="4"/>
      <c r="G37" s="4"/>
      <c r="H37" s="4" t="s">
        <v>21</v>
      </c>
      <c r="I37" s="6">
        <f t="shared" si="0"/>
        <v>0</v>
      </c>
      <c r="J37" s="4"/>
      <c r="K37" s="5"/>
      <c r="L37" s="5"/>
    </row>
    <row r="38" spans="1:12" x14ac:dyDescent="0.4">
      <c r="A38" s="4">
        <v>32</v>
      </c>
      <c r="B38" s="4" t="s">
        <v>90</v>
      </c>
      <c r="C38" s="5" t="s">
        <v>93</v>
      </c>
      <c r="D38" s="5" t="s">
        <v>94</v>
      </c>
      <c r="E38" s="4"/>
      <c r="F38" s="4"/>
      <c r="G38" s="4"/>
      <c r="H38" s="4" t="s">
        <v>21</v>
      </c>
      <c r="I38" s="6">
        <f t="shared" si="0"/>
        <v>0</v>
      </c>
      <c r="J38" s="4"/>
      <c r="K38" s="5"/>
      <c r="L38" s="5"/>
    </row>
    <row r="39" spans="1:12" x14ac:dyDescent="0.4">
      <c r="A39" s="4">
        <v>33</v>
      </c>
      <c r="B39" s="4" t="s">
        <v>90</v>
      </c>
      <c r="C39" s="5" t="s">
        <v>95</v>
      </c>
      <c r="D39" s="5" t="s">
        <v>96</v>
      </c>
      <c r="E39" s="4"/>
      <c r="F39" s="4"/>
      <c r="G39" s="4"/>
      <c r="H39" s="4" t="s">
        <v>156</v>
      </c>
      <c r="I39" s="6">
        <f t="shared" ref="I39:I61" si="1">IF($H39="Done",1,IF($H39="In Progress",0.5,0))</f>
        <v>1</v>
      </c>
      <c r="J39" s="4"/>
      <c r="K39" s="5"/>
      <c r="L39" s="5"/>
    </row>
    <row r="40" spans="1:12" x14ac:dyDescent="0.4">
      <c r="A40" s="4">
        <v>34</v>
      </c>
      <c r="B40" s="4" t="s">
        <v>90</v>
      </c>
      <c r="C40" s="5" t="s">
        <v>97</v>
      </c>
      <c r="D40" s="5" t="s">
        <v>98</v>
      </c>
      <c r="E40" s="4"/>
      <c r="F40" s="4"/>
      <c r="G40" s="4"/>
      <c r="H40" s="4" t="s">
        <v>156</v>
      </c>
      <c r="I40" s="6">
        <f t="shared" si="1"/>
        <v>1</v>
      </c>
      <c r="J40" s="4"/>
      <c r="K40" s="5"/>
      <c r="L40" s="5"/>
    </row>
    <row r="41" spans="1:12" x14ac:dyDescent="0.4">
      <c r="A41" s="4">
        <v>35</v>
      </c>
      <c r="B41" s="4" t="s">
        <v>90</v>
      </c>
      <c r="C41" s="5" t="s">
        <v>99</v>
      </c>
      <c r="D41" s="5" t="s">
        <v>100</v>
      </c>
      <c r="E41" s="4"/>
      <c r="F41" s="4"/>
      <c r="G41" s="4"/>
      <c r="H41" s="4" t="s">
        <v>21</v>
      </c>
      <c r="I41" s="6">
        <f t="shared" si="1"/>
        <v>0</v>
      </c>
      <c r="J41" s="4"/>
      <c r="K41" s="5"/>
      <c r="L41" s="5"/>
    </row>
    <row r="42" spans="1:12" ht="29.15" x14ac:dyDescent="0.4">
      <c r="A42" s="4">
        <v>36</v>
      </c>
      <c r="B42" s="4" t="s">
        <v>101</v>
      </c>
      <c r="C42" s="5" t="s">
        <v>102</v>
      </c>
      <c r="D42" s="5" t="s">
        <v>103</v>
      </c>
      <c r="E42" s="4" t="s">
        <v>104</v>
      </c>
      <c r="F42" s="4"/>
      <c r="G42" s="4"/>
      <c r="H42" s="4" t="s">
        <v>160</v>
      </c>
      <c r="I42" s="6">
        <f t="shared" si="1"/>
        <v>0</v>
      </c>
      <c r="J42" s="4"/>
      <c r="K42" s="5"/>
      <c r="L42" s="5"/>
    </row>
    <row r="43" spans="1:12" x14ac:dyDescent="0.4">
      <c r="A43" s="4">
        <v>37</v>
      </c>
      <c r="B43" s="4" t="s">
        <v>101</v>
      </c>
      <c r="C43" s="5" t="s">
        <v>105</v>
      </c>
      <c r="D43" s="5" t="s">
        <v>106</v>
      </c>
      <c r="E43" s="4" t="s">
        <v>104</v>
      </c>
      <c r="F43" s="4"/>
      <c r="G43" s="4"/>
      <c r="H43" s="4" t="s">
        <v>160</v>
      </c>
      <c r="I43" s="6">
        <f t="shared" si="1"/>
        <v>0</v>
      </c>
      <c r="J43" s="4"/>
      <c r="K43" s="5"/>
      <c r="L43" s="5"/>
    </row>
    <row r="44" spans="1:12" x14ac:dyDescent="0.4">
      <c r="A44" s="4">
        <v>38</v>
      </c>
      <c r="B44" s="4" t="s">
        <v>101</v>
      </c>
      <c r="C44" s="5" t="s">
        <v>107</v>
      </c>
      <c r="D44" s="5" t="s">
        <v>108</v>
      </c>
      <c r="E44" s="4" t="s">
        <v>104</v>
      </c>
      <c r="F44" s="4"/>
      <c r="G44" s="4"/>
      <c r="H44" s="4" t="s">
        <v>160</v>
      </c>
      <c r="I44" s="6">
        <f t="shared" si="1"/>
        <v>0</v>
      </c>
      <c r="J44" s="4"/>
      <c r="K44" s="5"/>
      <c r="L44" s="5"/>
    </row>
    <row r="45" spans="1:12" x14ac:dyDescent="0.4">
      <c r="A45" s="4">
        <v>39</v>
      </c>
      <c r="B45" s="4" t="s">
        <v>109</v>
      </c>
      <c r="C45" s="5" t="s">
        <v>110</v>
      </c>
      <c r="D45" s="5" t="s">
        <v>111</v>
      </c>
      <c r="E45" s="4"/>
      <c r="F45" s="4"/>
      <c r="G45" s="4"/>
      <c r="H45" s="4" t="s">
        <v>21</v>
      </c>
      <c r="I45" s="6">
        <f t="shared" si="1"/>
        <v>0</v>
      </c>
      <c r="J45" s="4"/>
      <c r="K45" s="5"/>
      <c r="L45" s="5"/>
    </row>
    <row r="46" spans="1:12" x14ac:dyDescent="0.4">
      <c r="A46" s="4">
        <v>40</v>
      </c>
      <c r="B46" s="4" t="s">
        <v>109</v>
      </c>
      <c r="C46" s="5" t="s">
        <v>112</v>
      </c>
      <c r="D46" s="5" t="s">
        <v>113</v>
      </c>
      <c r="E46" s="4"/>
      <c r="F46" s="4"/>
      <c r="G46" s="4"/>
      <c r="H46" s="4" t="s">
        <v>21</v>
      </c>
      <c r="I46" s="6">
        <f t="shared" si="1"/>
        <v>0</v>
      </c>
      <c r="J46" s="4"/>
      <c r="K46" s="5"/>
      <c r="L46" s="5"/>
    </row>
    <row r="47" spans="1:12" x14ac:dyDescent="0.4">
      <c r="A47" s="4">
        <v>41</v>
      </c>
      <c r="B47" s="4" t="s">
        <v>109</v>
      </c>
      <c r="C47" s="5" t="s">
        <v>114</v>
      </c>
      <c r="D47" s="5" t="s">
        <v>115</v>
      </c>
      <c r="E47" s="4"/>
      <c r="F47" s="4"/>
      <c r="G47" s="4"/>
      <c r="H47" s="4" t="s">
        <v>21</v>
      </c>
      <c r="I47" s="6">
        <f t="shared" si="1"/>
        <v>0</v>
      </c>
      <c r="J47" s="4"/>
      <c r="K47" s="5"/>
      <c r="L47" s="5"/>
    </row>
    <row r="48" spans="1:12" x14ac:dyDescent="0.4">
      <c r="A48" s="4">
        <v>42</v>
      </c>
      <c r="B48" s="4" t="s">
        <v>109</v>
      </c>
      <c r="C48" s="5" t="s">
        <v>116</v>
      </c>
      <c r="D48" s="5" t="s">
        <v>117</v>
      </c>
      <c r="E48" s="4"/>
      <c r="F48" s="4"/>
      <c r="G48" s="4"/>
      <c r="H48" s="4" t="s">
        <v>156</v>
      </c>
      <c r="I48" s="6">
        <f t="shared" si="1"/>
        <v>1</v>
      </c>
      <c r="J48" s="4"/>
      <c r="K48" s="5"/>
      <c r="L48" s="5"/>
    </row>
    <row r="49" spans="1:12" x14ac:dyDescent="0.4">
      <c r="A49" s="4">
        <v>43</v>
      </c>
      <c r="B49" s="4" t="s">
        <v>118</v>
      </c>
      <c r="C49" s="5" t="s">
        <v>119</v>
      </c>
      <c r="D49" s="5" t="s">
        <v>120</v>
      </c>
      <c r="E49" s="4" t="s">
        <v>121</v>
      </c>
      <c r="F49" s="4"/>
      <c r="G49" s="4"/>
      <c r="H49" s="4" t="s">
        <v>21</v>
      </c>
      <c r="I49" s="6">
        <f t="shared" si="1"/>
        <v>0</v>
      </c>
      <c r="J49" s="4"/>
      <c r="K49" s="5"/>
      <c r="L49" s="5"/>
    </row>
    <row r="50" spans="1:12" x14ac:dyDescent="0.4">
      <c r="A50" s="4">
        <v>44</v>
      </c>
      <c r="B50" s="4" t="s">
        <v>118</v>
      </c>
      <c r="C50" s="5" t="s">
        <v>122</v>
      </c>
      <c r="D50" s="5" t="s">
        <v>123</v>
      </c>
      <c r="E50" s="4" t="s">
        <v>121</v>
      </c>
      <c r="F50" s="4"/>
      <c r="G50" s="4"/>
      <c r="H50" s="4" t="s">
        <v>156</v>
      </c>
      <c r="I50" s="6">
        <f t="shared" si="1"/>
        <v>1</v>
      </c>
      <c r="J50" s="4"/>
      <c r="K50" s="5"/>
      <c r="L50" s="5"/>
    </row>
    <row r="51" spans="1:12" x14ac:dyDescent="0.4">
      <c r="A51" s="4">
        <v>45</v>
      </c>
      <c r="B51" s="4" t="s">
        <v>118</v>
      </c>
      <c r="C51" s="5" t="s">
        <v>124</v>
      </c>
      <c r="D51" s="5" t="s">
        <v>125</v>
      </c>
      <c r="E51" s="4" t="s">
        <v>121</v>
      </c>
      <c r="F51" s="4"/>
      <c r="G51" s="4"/>
      <c r="H51" s="4" t="s">
        <v>21</v>
      </c>
      <c r="I51" s="6">
        <f t="shared" si="1"/>
        <v>0</v>
      </c>
      <c r="J51" s="4"/>
      <c r="K51" s="5"/>
      <c r="L51" s="5"/>
    </row>
    <row r="52" spans="1:12" x14ac:dyDescent="0.4">
      <c r="A52" s="4">
        <v>46</v>
      </c>
      <c r="B52" s="4" t="s">
        <v>118</v>
      </c>
      <c r="C52" s="5" t="s">
        <v>126</v>
      </c>
      <c r="D52" s="5" t="s">
        <v>127</v>
      </c>
      <c r="E52" s="4" t="s">
        <v>121</v>
      </c>
      <c r="F52" s="4"/>
      <c r="G52" s="4"/>
      <c r="H52" s="4" t="s">
        <v>21</v>
      </c>
      <c r="I52" s="6">
        <f t="shared" si="1"/>
        <v>0</v>
      </c>
      <c r="J52" s="4"/>
      <c r="K52" s="5"/>
      <c r="L52" s="5"/>
    </row>
    <row r="53" spans="1:12" x14ac:dyDescent="0.4">
      <c r="A53" s="4">
        <v>47</v>
      </c>
      <c r="B53" s="4" t="s">
        <v>118</v>
      </c>
      <c r="C53" s="5" t="s">
        <v>128</v>
      </c>
      <c r="D53" s="5" t="s">
        <v>129</v>
      </c>
      <c r="E53" s="4" t="s">
        <v>121</v>
      </c>
      <c r="F53" s="4"/>
      <c r="G53" s="4"/>
      <c r="H53" s="4" t="s">
        <v>21</v>
      </c>
      <c r="I53" s="6">
        <f t="shared" si="1"/>
        <v>0</v>
      </c>
      <c r="J53" s="4"/>
      <c r="K53" s="5"/>
      <c r="L53" s="5"/>
    </row>
    <row r="54" spans="1:12" x14ac:dyDescent="0.4">
      <c r="A54" s="4">
        <v>48</v>
      </c>
      <c r="B54" s="4" t="s">
        <v>118</v>
      </c>
      <c r="C54" s="5" t="s">
        <v>130</v>
      </c>
      <c r="D54" s="5" t="s">
        <v>131</v>
      </c>
      <c r="E54" s="4" t="s">
        <v>121</v>
      </c>
      <c r="F54" s="4"/>
      <c r="G54" s="4"/>
      <c r="H54" s="4" t="s">
        <v>21</v>
      </c>
      <c r="I54" s="6">
        <f t="shared" si="1"/>
        <v>0</v>
      </c>
      <c r="J54" s="4"/>
      <c r="K54" s="5"/>
      <c r="L54" s="5"/>
    </row>
    <row r="55" spans="1:12" x14ac:dyDescent="0.4">
      <c r="A55" s="4">
        <v>49</v>
      </c>
      <c r="B55" s="4" t="s">
        <v>118</v>
      </c>
      <c r="C55" s="5" t="s">
        <v>132</v>
      </c>
      <c r="D55" s="5" t="s">
        <v>123</v>
      </c>
      <c r="E55" s="4" t="s">
        <v>121</v>
      </c>
      <c r="F55" s="4"/>
      <c r="G55" s="4"/>
      <c r="H55" s="4" t="s">
        <v>21</v>
      </c>
      <c r="I55" s="6">
        <f t="shared" si="1"/>
        <v>0</v>
      </c>
      <c r="J55" s="4"/>
      <c r="K55" s="5"/>
      <c r="L55" s="5"/>
    </row>
    <row r="56" spans="1:12" x14ac:dyDescent="0.4">
      <c r="A56" s="4">
        <v>50</v>
      </c>
      <c r="B56" s="4" t="s">
        <v>118</v>
      </c>
      <c r="C56" s="5" t="s">
        <v>133</v>
      </c>
      <c r="D56" s="5" t="s">
        <v>134</v>
      </c>
      <c r="E56" s="4" t="s">
        <v>121</v>
      </c>
      <c r="F56" s="4"/>
      <c r="G56" s="4"/>
      <c r="H56" s="4" t="s">
        <v>21</v>
      </c>
      <c r="I56" s="6">
        <f t="shared" si="1"/>
        <v>0</v>
      </c>
      <c r="J56" s="4"/>
      <c r="K56" s="5"/>
      <c r="L56" s="5"/>
    </row>
    <row r="57" spans="1:12" x14ac:dyDescent="0.4">
      <c r="A57" s="4">
        <v>51</v>
      </c>
      <c r="B57" s="4" t="s">
        <v>135</v>
      </c>
      <c r="C57" s="5" t="s">
        <v>136</v>
      </c>
      <c r="D57" s="5" t="s">
        <v>137</v>
      </c>
      <c r="E57" s="4" t="s">
        <v>138</v>
      </c>
      <c r="F57" s="4"/>
      <c r="G57" s="4"/>
      <c r="H57" s="4" t="s">
        <v>21</v>
      </c>
      <c r="I57" s="6">
        <f t="shared" si="1"/>
        <v>0</v>
      </c>
      <c r="J57" s="4"/>
      <c r="K57" s="5"/>
      <c r="L57" s="5"/>
    </row>
    <row r="58" spans="1:12" x14ac:dyDescent="0.4">
      <c r="A58" s="4">
        <v>52</v>
      </c>
      <c r="B58" s="4" t="s">
        <v>135</v>
      </c>
      <c r="C58" s="5" t="s">
        <v>139</v>
      </c>
      <c r="D58" s="5" t="s">
        <v>140</v>
      </c>
      <c r="E58" s="4" t="s">
        <v>138</v>
      </c>
      <c r="F58" s="4"/>
      <c r="G58" s="4"/>
      <c r="H58" s="4" t="s">
        <v>21</v>
      </c>
      <c r="I58" s="6">
        <f t="shared" si="1"/>
        <v>0</v>
      </c>
      <c r="J58" s="4"/>
      <c r="K58" s="5"/>
      <c r="L58" s="5"/>
    </row>
    <row r="59" spans="1:12" x14ac:dyDescent="0.4">
      <c r="A59" s="4">
        <v>53</v>
      </c>
      <c r="B59" s="4" t="s">
        <v>135</v>
      </c>
      <c r="C59" s="5" t="s">
        <v>141</v>
      </c>
      <c r="D59" s="5" t="s">
        <v>142</v>
      </c>
      <c r="E59" s="4" t="s">
        <v>138</v>
      </c>
      <c r="F59" s="4"/>
      <c r="G59" s="4"/>
      <c r="H59" s="4" t="s">
        <v>21</v>
      </c>
      <c r="I59" s="6">
        <f t="shared" si="1"/>
        <v>0</v>
      </c>
      <c r="J59" s="4"/>
      <c r="K59" s="5"/>
      <c r="L59" s="5"/>
    </row>
    <row r="60" spans="1:12" x14ac:dyDescent="0.4">
      <c r="A60" s="4">
        <v>54</v>
      </c>
      <c r="B60" s="4" t="s">
        <v>135</v>
      </c>
      <c r="C60" s="5" t="s">
        <v>143</v>
      </c>
      <c r="D60" s="5" t="s">
        <v>144</v>
      </c>
      <c r="E60" s="4" t="s">
        <v>138</v>
      </c>
      <c r="F60" s="4"/>
      <c r="G60" s="4"/>
      <c r="H60" s="4" t="s">
        <v>21</v>
      </c>
      <c r="I60" s="6">
        <f t="shared" si="1"/>
        <v>0</v>
      </c>
      <c r="J60" s="4"/>
      <c r="K60" s="5"/>
      <c r="L60" s="5"/>
    </row>
    <row r="61" spans="1:12" x14ac:dyDescent="0.4">
      <c r="A61" s="4">
        <v>55</v>
      </c>
      <c r="B61" s="4" t="s">
        <v>135</v>
      </c>
      <c r="C61" s="5" t="s">
        <v>145</v>
      </c>
      <c r="D61" s="5" t="s">
        <v>146</v>
      </c>
      <c r="E61" s="4"/>
      <c r="F61" s="4"/>
      <c r="G61" s="4"/>
      <c r="H61" s="4" t="s">
        <v>21</v>
      </c>
      <c r="I61" s="6">
        <f t="shared" si="1"/>
        <v>0</v>
      </c>
      <c r="J61" s="4"/>
      <c r="K61" s="5"/>
      <c r="L61" s="5"/>
    </row>
  </sheetData>
  <mergeCells count="1">
    <mergeCell ref="A1:L1"/>
  </mergeCells>
  <conditionalFormatting sqref="A7:L61">
    <cfRule type="expression" dxfId="2" priority="1">
      <formula>$H7="Done"</formula>
    </cfRule>
    <cfRule type="expression" dxfId="1" priority="2">
      <formula>$H7="In Progress"</formula>
    </cfRule>
    <cfRule type="expression" dxfId="0" priority="3">
      <formula>$H7="Blocked"</formula>
    </cfRule>
  </conditionalFormatting>
  <dataValidations count="2">
    <dataValidation type="list" error="Izaberite status iz liste." prompt="Status" sqref="H7:H61" xr:uid="{00000000-0002-0000-0000-000000000000}">
      <formula1>"Not Started,In Progress,Blocked,Done"</formula1>
    </dataValidation>
    <dataValidation type="list" allowBlank="1" sqref="J7:J61" xr:uid="{00000000-0002-0000-0000-000001000000}">
      <formula1>"Low,Medium,High"</formula1>
    </dataValidation>
  </dataValidations>
  <hyperlinks>
    <hyperlink ref="K10" r:id="rId1" xr:uid="{7654C113-DAEF-4A4F-AABE-8FA95501BF1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defaultRowHeight="14.6" x14ac:dyDescent="0.4"/>
  <cols>
    <col min="1" max="1" width="110" customWidth="1"/>
  </cols>
  <sheetData>
    <row r="1" spans="1:1" ht="18.45" x14ac:dyDescent="0.5">
      <c r="A1" s="7" t="s">
        <v>147</v>
      </c>
    </row>
    <row r="3" spans="1:1" ht="18" customHeight="1" x14ac:dyDescent="0.4">
      <c r="A3" s="8" t="s">
        <v>148</v>
      </c>
    </row>
    <row r="4" spans="1:1" ht="18" customHeight="1" x14ac:dyDescent="0.4">
      <c r="A4" s="8" t="s">
        <v>149</v>
      </c>
    </row>
    <row r="5" spans="1:1" ht="18" customHeight="1" x14ac:dyDescent="0.4">
      <c r="A5" s="8" t="s">
        <v>150</v>
      </c>
    </row>
    <row r="6" spans="1:1" ht="18" customHeight="1" x14ac:dyDescent="0.4">
      <c r="A6" s="8" t="s">
        <v>151</v>
      </c>
    </row>
    <row r="7" spans="1:1" ht="18" customHeight="1" x14ac:dyDescent="0.4">
      <c r="A7" s="8" t="s">
        <v>152</v>
      </c>
    </row>
    <row r="8" spans="1:1" ht="18" customHeight="1" x14ac:dyDescent="0.4">
      <c r="A8" s="8"/>
    </row>
    <row r="9" spans="1:1" ht="18" customHeight="1" x14ac:dyDescent="0.4">
      <c r="A9" s="9" t="s">
        <v>153</v>
      </c>
    </row>
    <row r="10" spans="1:1" ht="18" customHeight="1" x14ac:dyDescent="0.4">
      <c r="A10" s="8" t="s">
        <v>154</v>
      </c>
    </row>
    <row r="11" spans="1:1" ht="18" customHeight="1" x14ac:dyDescent="0.4">
      <c r="A11" s="8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2026-01-19T10:10:31Z</dcterms:created>
  <dcterms:modified xsi:type="dcterms:W3CDTF">2026-03-13T15:44:43Z</dcterms:modified>
</cp:coreProperties>
</file>